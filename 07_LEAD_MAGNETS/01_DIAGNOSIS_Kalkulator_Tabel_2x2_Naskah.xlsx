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kulator Tabel 2x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b val="1"/>
      <color rgb="00071726"/>
      <sz val="12"/>
    </font>
    <font>
      <name val="Arial"/>
      <b val="1"/>
      <color rgb="00FFFFFF"/>
      <sz val="11"/>
    </font>
    <font>
      <name val="Arial"/>
      <b val="1"/>
      <color rgb="00071726"/>
      <sz val="11"/>
    </font>
    <font>
      <name val="Arial"/>
      <b val="1"/>
      <color rgb="00E85929"/>
      <sz val="11"/>
    </font>
    <font>
      <name val="Arial"/>
      <color rgb="001D2939"/>
      <sz val="10"/>
    </font>
    <font>
      <name val="Arial"/>
      <b val="1"/>
      <color rgb="00E85929"/>
      <sz val="12"/>
    </font>
    <font>
      <name val="Arial"/>
      <i val="1"/>
      <color rgb="00071726"/>
      <sz val="10"/>
    </font>
  </fonts>
  <fills count="7">
    <fill>
      <patternFill/>
    </fill>
    <fill>
      <patternFill patternType="gray125"/>
    </fill>
    <fill>
      <patternFill patternType="solid">
        <fgColor rgb="00071726"/>
        <bgColor rgb="00071726"/>
      </patternFill>
    </fill>
    <fill>
      <patternFill patternType="solid">
        <fgColor rgb="00FDF4EB"/>
        <bgColor rgb="00FDF4EB"/>
      </patternFill>
    </fill>
    <fill>
      <patternFill patternType="solid">
        <fgColor rgb="00EBF3FA"/>
        <bgColor rgb="00EBF3FA"/>
      </patternFill>
    </fill>
    <fill>
      <patternFill patternType="solid">
        <fgColor rgb="00FFF3CD"/>
        <bgColor rgb="00FFF3CD"/>
      </patternFill>
    </fill>
    <fill>
      <patternFill patternType="solid">
        <fgColor rgb="00F0F4F8"/>
        <bgColor rgb="00F0F4F8"/>
      </patternFill>
    </fill>
  </fills>
  <borders count="3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 style="thin">
        <color rgb="00D0D5DD"/>
      </left>
      <right style="thin">
        <color rgb="00D0D5DD"/>
      </right>
      <top style="thin">
        <color rgb="00D0D5DD"/>
      </top>
      <bottom style="medium">
        <color rgb="0007172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1" pivotButton="0" quotePrefix="0" xfId="0"/>
    <xf numFmtId="0" fontId="7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165" fontId="8" fillId="0" borderId="1" applyAlignment="1" pivotButton="0" quotePrefix="0" xfId="0">
      <alignment horizontal="center"/>
    </xf>
    <xf numFmtId="0" fontId="7" fillId="0" borderId="1" pivotButton="0" quotePrefix="0" xfId="0"/>
    <xf numFmtId="0" fontId="8" fillId="0" borderId="1" applyAlignment="1" pivotButton="0" quotePrefix="0" xfId="0">
      <alignment horizontal="center"/>
    </xf>
    <xf numFmtId="0" fontId="9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26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32" customWidth="1" min="3" max="3"/>
    <col width="16" customWidth="1" min="4" max="4"/>
    <col width="16" customWidth="1" min="5" max="5"/>
    <col width="65" customWidth="1" min="6" max="6"/>
  </cols>
  <sheetData>
    <row r="1" ht="30" customHeight="1">
      <c r="B1" s="1" t="inlineStr">
        <is>
          <t>KALKULATOR UJI DIAGNOSTIK TABEL 2x2 — NASKAH.FK</t>
        </is>
      </c>
    </row>
    <row r="2" ht="20" customHeight="1">
      <c r="B2" s="2" t="inlineStr">
        <is>
          <t>Official Academic Companion — Masukkan angka pada sel berwarna KUNING. Hasil terhitung otomatis.</t>
        </is>
      </c>
    </row>
    <row r="4">
      <c r="B4" s="3" t="inlineStr">
        <is>
          <t>1. TABEL KONTINGENSI 2x2 (INPUT DATA)</t>
        </is>
      </c>
    </row>
    <row r="5">
      <c r="C5" s="4" t="inlineStr">
        <is>
          <t>BAKU EMAS (GOLD STANDARD)</t>
        </is>
      </c>
    </row>
    <row r="6">
      <c r="B6" s="4" t="inlineStr">
        <is>
          <t>ALAT UJI BARU</t>
        </is>
      </c>
      <c r="C6" s="5" t="inlineStr">
        <is>
          <t>Positif (+)</t>
        </is>
      </c>
      <c r="D6" s="5" t="inlineStr">
        <is>
          <t>Negatif (-)</t>
        </is>
      </c>
      <c r="E6" s="6" t="inlineStr">
        <is>
          <t>Total Alat Uji</t>
        </is>
      </c>
    </row>
    <row r="7">
      <c r="B7" s="5" t="inlineStr">
        <is>
          <t>Positif (+)</t>
        </is>
      </c>
      <c r="C7" s="7" t="n">
        <v>85</v>
      </c>
      <c r="D7" s="7" t="n">
        <v>10</v>
      </c>
      <c r="E7" s="6">
        <f>C7+D7</f>
        <v/>
      </c>
    </row>
    <row r="8">
      <c r="B8" s="5" t="inlineStr">
        <is>
          <t>Negatif (-)</t>
        </is>
      </c>
      <c r="C8" s="7" t="n">
        <v>15</v>
      </c>
      <c r="D8" s="7" t="n">
        <v>90</v>
      </c>
      <c r="E8" s="6">
        <f>C8+D8</f>
        <v/>
      </c>
    </row>
    <row r="9">
      <c r="B9" s="8" t="inlineStr">
        <is>
          <t>Total Baku Emas</t>
        </is>
      </c>
      <c r="C9" s="8">
        <f>C7+C8</f>
        <v/>
      </c>
      <c r="D9" s="8">
        <f>D7+D8</f>
        <v/>
      </c>
      <c r="E9" s="9">
        <f>E7+E8</f>
        <v/>
      </c>
    </row>
    <row r="11">
      <c r="B11" s="3" t="inlineStr">
        <is>
          <t>2. HASIL PERHITUNGAN PARAMETER DIAGNOSTIK</t>
        </is>
      </c>
    </row>
    <row r="12">
      <c r="B12" s="10" t="inlineStr">
        <is>
          <t>Parameter Diagnostik</t>
        </is>
      </c>
      <c r="C12" s="10" t="inlineStr">
        <is>
          <t>Rumus Matematis</t>
        </is>
      </c>
      <c r="D12" s="10" t="inlineStr">
        <is>
          <t>Nilai Desimal</t>
        </is>
      </c>
      <c r="E12" s="10" t="inlineStr">
        <is>
          <t>Persentase (%)</t>
        </is>
      </c>
      <c r="F12" s="10" t="inlineStr">
        <is>
          <t>Interpretasi Klinis untuk Naskah Skripsi</t>
        </is>
      </c>
    </row>
    <row r="13">
      <c r="B13" s="11" t="inlineStr">
        <is>
          <t>Sensitivitas (Sensitivity / True Positive Rate)</t>
        </is>
      </c>
      <c r="C13" s="12" t="inlineStr">
        <is>
          <t>TP / (TP + FN)</t>
        </is>
      </c>
      <c r="D13" s="13">
        <f>C7/C9</f>
        <v/>
      </c>
      <c r="E13" s="14">
        <f>C7/C9</f>
        <v/>
      </c>
      <c r="F13" s="15" t="inlineStr">
        <is>
          <t>Kemampuan alat mendeteksi subjek yang benar-benar sakit.</t>
        </is>
      </c>
    </row>
    <row r="14">
      <c r="B14" s="11" t="inlineStr">
        <is>
          <t>Spesifisitas (Specificity / True Negative Rate)</t>
        </is>
      </c>
      <c r="C14" s="12" t="inlineStr">
        <is>
          <t>TN / (TN + FP)</t>
        </is>
      </c>
      <c r="D14" s="13">
        <f>D8/D9</f>
        <v/>
      </c>
      <c r="E14" s="14">
        <f>D8/D9</f>
        <v/>
      </c>
      <c r="F14" s="15" t="inlineStr">
        <is>
          <t>Kemampuan alat menyaring subjek yang benar-benar sehat.</t>
        </is>
      </c>
    </row>
    <row r="15">
      <c r="B15" s="11" t="inlineStr">
        <is>
          <t>Nilai Prediktif Positif (PPV / Precision)</t>
        </is>
      </c>
      <c r="C15" s="12" t="inlineStr">
        <is>
          <t>TP / (TP + FP)</t>
        </is>
      </c>
      <c r="D15" s="13">
        <f>C7/E7</f>
        <v/>
      </c>
      <c r="E15" s="14">
        <f>C7/E7</f>
        <v/>
      </c>
      <c r="F15" s="15" t="inlineStr">
        <is>
          <t>Probabilitas subjek benar sakit jika hasil tes positif.</t>
        </is>
      </c>
    </row>
    <row r="16">
      <c r="B16" s="11" t="inlineStr">
        <is>
          <t>Nilai Prediktif Negatif (NPV)</t>
        </is>
      </c>
      <c r="C16" s="12" t="inlineStr">
        <is>
          <t>TN / (TN + FN)</t>
        </is>
      </c>
      <c r="D16" s="13">
        <f>D8/E8</f>
        <v/>
      </c>
      <c r="E16" s="14">
        <f>D8/E8</f>
        <v/>
      </c>
      <c r="F16" s="15" t="inlineStr">
        <is>
          <t>Probabilitas subjek benar sehat jika hasil tes negatif.</t>
        </is>
      </c>
    </row>
    <row r="17">
      <c r="B17" s="11" t="inlineStr">
        <is>
          <t>Akurasi Diagnostik (Accuracy)</t>
        </is>
      </c>
      <c r="C17" s="12" t="inlineStr">
        <is>
          <t>(TP + TN) / Total N</t>
        </is>
      </c>
      <c r="D17" s="13">
        <f>(C7+D8)/E9</f>
        <v/>
      </c>
      <c r="E17" s="14">
        <f>(C7+D8)/E9</f>
        <v/>
      </c>
      <c r="F17" s="15" t="inlineStr">
        <is>
          <t>Proporsi keseluruhan diagnosis yang benar.</t>
        </is>
      </c>
    </row>
    <row r="18">
      <c r="B18" s="11" t="inlineStr">
        <is>
          <t>Positive Likelihood Ratio (LR+)</t>
        </is>
      </c>
      <c r="C18" s="12" t="inlineStr">
        <is>
          <t>Sensitivitas / (1 - Spesifisitas)</t>
        </is>
      </c>
      <c r="D18" s="13">
        <f>(C7/C9)/(1-(D8/D9))</f>
        <v/>
      </c>
      <c r="E18" s="16" t="inlineStr">
        <is>
          <t>-</t>
        </is>
      </c>
      <c r="F18" s="15" t="inlineStr">
        <is>
          <t>Rasio peningkatan kemungkinan sakit jika tes positif (&gt;10 = sangat kuat).</t>
        </is>
      </c>
    </row>
    <row r="19">
      <c r="B19" s="11" t="inlineStr">
        <is>
          <t>Negative Likelihood Ratio (LR-)</t>
        </is>
      </c>
      <c r="C19" s="12" t="inlineStr">
        <is>
          <t>(1 - Sensitivitas) / Spesifisitas</t>
        </is>
      </c>
      <c r="D19" s="13">
        <f>(1-(C7/C9))/(D8/D9)</f>
        <v/>
      </c>
      <c r="E19" s="16" t="inlineStr">
        <is>
          <t>-</t>
        </is>
      </c>
      <c r="F19" s="15" t="inlineStr">
        <is>
          <t>Rasio penurunan kemungkinan sakit jika tes negatif (&lt;0.1 = sangat kuat).</t>
        </is>
      </c>
    </row>
    <row r="20">
      <c r="B20" s="11" t="inlineStr">
        <is>
          <t>Prevalensi Penyakit (Pre-test Probability)</t>
        </is>
      </c>
      <c r="C20" s="12" t="inlineStr">
        <is>
          <t>(TP + FN) / Total N</t>
        </is>
      </c>
      <c r="D20" s="13">
        <f>C9/E9</f>
        <v/>
      </c>
      <c r="E20" s="14">
        <f>C9/E9</f>
        <v/>
      </c>
      <c r="F20" s="15" t="inlineStr">
        <is>
          <t>Proporsi populasi sakit berdasarkan baku emas.</t>
        </is>
      </c>
    </row>
    <row r="23">
      <c r="B23" s="3" t="inlineStr">
        <is>
          <t>3. TEMPLATE KALIMAT PELAPORAN BAB 4 SKRIPSI FK (SIAP COPY)</t>
        </is>
      </c>
    </row>
    <row r="24">
      <c r="B24" s="17" t="inlineStr">
        <is>
          <t>Berdasarkan hasil uji diagnostik terhadap total responden (N), diperoleh nilai sensitivitas alat sebesar [Persentase] dan spesifisitas sebesar [Persentase]. Nilai Prediktif Positif (PPV) tercatat sebesar [Persentase] dan Nilai Prediktif Negatif (NPV) sebesar [Persentase], dengan akurasi diagnostik keseluruhan mencapai [Persentase]. Nilai Positive Likelihood Ratio (LR+) sebesar [Nilai] menunjukkan kemampuan konfirmasi klinis yang memadai.</t>
        </is>
      </c>
    </row>
    <row r="25"/>
    <row r="26"/>
  </sheetData>
  <mergeCells count="4">
    <mergeCell ref="B1:H1"/>
    <mergeCell ref="B2:H2"/>
    <mergeCell ref="B24:F26"/>
    <mergeCell ref="C5: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2026-09-20T17:22:55Z</dcterms:created>
  <dcterms:modified xmlns:dcterms="http://purl.org/dc/terms/" xmlns:xsi="http://www.w3.org/2001/XMLSchema-instance" xsi:type="dcterms:W3CDTF">2026-09-20T17:22:55Z</dcterms:modified>
</cp:coreProperties>
</file>